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DangKyHoc" sheetId="1" state="visible" r:id="rId1"/>
    <sheet name="KhoaHoc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<sst xmlns="http://schemas.openxmlformats.org/spreadsheetml/2006/main" count="52" uniqueCount="52">
  <si>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>ma_phieu_dk</t>
  </si>
  <si>
    <t>ngay_dk</t>
  </si>
  <si>
    <t>ma_kh_sach</t>
  </si>
  <si>
    <t>ma_kh</t>
  </si>
  <si>
    <t>so_hoc_vien</t>
  </si>
  <si>
    <t>ten_kh</t>
  </si>
  <si>
    <t>hoc_phi</t>
  </si>
  <si>
    <t>tong_hoc_phi</t>
  </si>
  <si>
    <t>PDK001</t>
  </si>
  <si>
    <t>2026-03-01</t>
  </si>
  <si>
    <t>TA01</t>
  </si>
  <si>
    <t>PDK002</t>
  </si>
  <si>
    <t>2026-03-02</t>
  </si>
  <si>
    <t>PDK003</t>
  </si>
  <si>
    <t>2026-03-03</t>
  </si>
  <si>
    <t>TN01</t>
  </si>
  <si>
    <t>PDK004</t>
  </si>
  <si>
    <t>2026-03-04</t>
  </si>
  <si>
    <t>TH01</t>
  </si>
  <si>
    <t>PDK005</t>
  </si>
  <si>
    <t>2026-03-05</t>
  </si>
  <si>
    <t>TE01</t>
  </si>
  <si>
    <t>PDK006</t>
  </si>
  <si>
    <t>2026-03-06</t>
  </si>
  <si>
    <t>PDK007</t>
  </si>
  <si>
    <t>2026-03-07</t>
  </si>
  <si>
    <t>PDK008</t>
  </si>
  <si>
    <t>2026-03-08</t>
  </si>
  <si>
    <t>PDK009</t>
  </si>
  <si>
    <t>2026-03-09</t>
  </si>
  <si>
    <t>TA02</t>
  </si>
  <si>
    <t>PDK010</t>
  </si>
  <si>
    <t>2026-03-10</t>
  </si>
  <si>
    <t>PDK011</t>
  </si>
  <si>
    <t>2026-03-11</t>
  </si>
  <si>
    <t>TT01</t>
  </si>
  <si>
    <t>PDK012</t>
  </si>
  <si>
    <t>2026-03-12</t>
  </si>
  <si>
    <t>PDK013</t>
  </si>
  <si>
    <t>2026-03-13</t>
  </si>
  <si>
    <t>PDK014</t>
  </si>
  <si>
    <t>2026-03-14</t>
  </si>
  <si>
    <t>TA03</t>
  </si>
  <si>
    <t>PDK015</t>
  </si>
  <si>
    <t>2026-03-15</t>
  </si>
  <si>
    <t xml:space="preserve">Tieng Anh giao tiep</t>
  </si>
  <si>
    <t xml:space="preserve">IELTS nen tang</t>
  </si>
  <si>
    <t xml:space="preserve">TOEIC 550</t>
  </si>
  <si>
    <t xml:space="preserve">Tieng Nhat N5</t>
  </si>
  <si>
    <t xml:space="preserve">Tieng Han so cap</t>
  </si>
  <si>
    <t xml:space="preserve">Tieng Trung HSK1</t>
  </si>
  <si>
    <t xml:space="preserve">Tieng Anh tre em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</si>
</sst>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0" fillId="0" borderId="0" numFmtId="0" xfId="0" quotePrefix="0" pivotButton="0"/>
    <xf fontId="0" fillId="0" borderId="0" numFmtId="0" xfId="0" quotePrefix="0" pivotButton="0"/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æ˜Žæœ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H2" activeCellId="0" sqref="H2:H16"/>
    </sheetView>
  </sheetViews>
  <sheetFormatPr baseColWidth="8" defaultRowHeight="14.25"/>
  <cols>
    <col customWidth="1" min="1" max="5" width="15"/>
    <col customWidth="1" min="6" max="6" width="17.8515625"/>
    <col customWidth="1" min="7" max="8" width="15"/>
  </cols>
  <sheetData>
    <row r="1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s="2" t="str">
        <f>TRIM(D2)</f>
        <v>TA01</v>
      </c>
      <c r="D2" t="s">
        <v>10</v>
      </c>
      <c r="E2">
        <v>1</v>
      </c>
      <c r="F2" t="str">
        <f>VLOOKUP(C2,KhoaHoc!A2:$C$8,2,FALSE)</f>
        <v xml:space="preserve">Tieng Anh giao tiep</v>
      </c>
      <c r="G2">
        <f>VLOOKUP(C2,KhoaHoc!A2:$C$8,3,FALSE)</f>
        <v>2500000</v>
      </c>
      <c r="H2">
        <f>G2*E2</f>
        <v>2500000</v>
      </c>
    </row>
    <row r="3">
      <c r="A3" t="s">
        <v>11</v>
      </c>
      <c r="B3" t="s">
        <v>12</v>
      </c>
      <c r="C3" s="2" t="str">
        <f>TRIM(D3)</f>
        <v>TA01</v>
      </c>
      <c r="D3" t="s">
        <v>10</v>
      </c>
      <c r="E3">
        <v>5</v>
      </c>
      <c r="F3" s="3" t="e">
        <f>VLOOKUP(C3,KhoaHoc!A3:$C$8,2,FALSE)</f>
        <v>#N/A</v>
      </c>
      <c r="G3" t="e">
        <f>VLOOKUP(C3,KhoaHoc!A3:$C$8,3,FALSE)</f>
        <v>#N/A</v>
      </c>
      <c r="H3" t="e">
        <f>G3*E3</f>
        <v>#N/A</v>
      </c>
    </row>
    <row r="4">
      <c r="A4" t="s">
        <v>13</v>
      </c>
      <c r="B4" t="s">
        <v>14</v>
      </c>
      <c r="C4" s="2" t="str">
        <f>TRIM(D4)</f>
        <v>TN01</v>
      </c>
      <c r="D4" t="s">
        <v>15</v>
      </c>
      <c r="E4">
        <v>5</v>
      </c>
      <c r="F4" s="3" t="str">
        <f>VLOOKUP(C4,KhoaHoc!A4:$C$8,2,FALSE)</f>
        <v xml:space="preserve">Tieng Nhat N5</v>
      </c>
      <c r="G4">
        <f>VLOOKUP(C4,KhoaHoc!A4:$C$8,3,FALSE)</f>
        <v>3500000</v>
      </c>
      <c r="H4">
        <f>G4*E4</f>
        <v>17500000</v>
      </c>
    </row>
    <row r="5">
      <c r="A5" t="s">
        <v>16</v>
      </c>
      <c r="B5" t="s">
        <v>17</v>
      </c>
      <c r="C5" s="2" t="str">
        <f>TRIM(D5)</f>
        <v>TH01</v>
      </c>
      <c r="D5" t="s">
        <v>18</v>
      </c>
      <c r="E5">
        <v>3</v>
      </c>
      <c r="F5" s="3" t="str">
        <f>VLOOKUP(C5,KhoaHoc!A5:$C$8,2,FALSE)</f>
        <v xml:space="preserve">Tieng Han so cap</v>
      </c>
      <c r="G5">
        <f>VLOOKUP(C5,KhoaHoc!A5:$C$8,3,FALSE)</f>
        <v>3200000</v>
      </c>
      <c r="H5">
        <f>G5*E5</f>
        <v>9600000</v>
      </c>
    </row>
    <row r="6">
      <c r="A6" t="s">
        <v>19</v>
      </c>
      <c r="B6" t="s">
        <v>20</v>
      </c>
      <c r="C6" s="2" t="str">
        <f>TRIM(D6)</f>
        <v>TE01</v>
      </c>
      <c r="D6" t="s">
        <v>21</v>
      </c>
      <c r="E6">
        <v>1</v>
      </c>
      <c r="F6" s="3" t="str">
        <f>VLOOKUP(C6,KhoaHoc!A6:$C$8,2,FALSE)</f>
        <v xml:space="preserve">Tieng Anh tre em</v>
      </c>
      <c r="G6">
        <f>VLOOKUP(C6,KhoaHoc!A6:$C$8,3,FALSE)</f>
        <v>2000000</v>
      </c>
      <c r="H6">
        <f>G6*E6</f>
        <v>2000000</v>
      </c>
    </row>
    <row r="7">
      <c r="A7" t="s">
        <v>22</v>
      </c>
      <c r="B7" t="s">
        <v>23</v>
      </c>
      <c r="C7" s="2" t="str">
        <f>TRIM(D7)</f>
        <v>TA01</v>
      </c>
      <c r="D7" t="s">
        <v>10</v>
      </c>
      <c r="E7">
        <v>2</v>
      </c>
      <c r="F7" s="3" t="e">
        <f>VLOOKUP(C7,KhoaHoc!A7:$C$8,2,FALSE)</f>
        <v>#N/A</v>
      </c>
      <c r="G7" t="e">
        <f>VLOOKUP(C7,KhoaHoc!A7:$C$8,3,FALSE)</f>
        <v>#N/A</v>
      </c>
      <c r="H7" t="e">
        <f>G7*E7</f>
        <v>#N/A</v>
      </c>
    </row>
    <row r="8">
      <c r="A8" t="s">
        <v>24</v>
      </c>
      <c r="B8" t="s">
        <v>25</v>
      </c>
      <c r="C8" s="2" t="str">
        <f>TRIM(D8)</f>
        <v>TN01</v>
      </c>
      <c r="D8" t="s">
        <v>15</v>
      </c>
      <c r="E8">
        <v>2</v>
      </c>
      <c r="F8" s="3" t="e">
        <f>VLOOKUP(C8,KhoaHoc!A8:$C$8,2,FALSE)</f>
        <v>#N/A</v>
      </c>
      <c r="G8" t="e">
        <f>VLOOKUP(C8,KhoaHoc!A8:$C$8,3,FALSE)</f>
        <v>#N/A</v>
      </c>
      <c r="H8" t="e">
        <f>G8*E8</f>
        <v>#N/A</v>
      </c>
    </row>
    <row r="9">
      <c r="A9" t="s">
        <v>26</v>
      </c>
      <c r="B9" t="s">
        <v>27</v>
      </c>
      <c r="C9" s="2" t="str">
        <f>TRIM(D9)</f>
        <v>TN01</v>
      </c>
      <c r="D9" t="s">
        <v>15</v>
      </c>
      <c r="E9">
        <v>4</v>
      </c>
      <c r="F9" s="3" t="e">
        <f>VLOOKUP(C9,KhoaHoc!A$8:$C9,2,FALSE)</f>
        <v>#N/A</v>
      </c>
      <c r="G9" t="e">
        <f>VLOOKUP(C9,KhoaHoc!A$8:$C9,3,FALSE)</f>
        <v>#N/A</v>
      </c>
      <c r="H9" t="e">
        <f>G9*E9</f>
        <v>#N/A</v>
      </c>
    </row>
    <row r="10">
      <c r="A10" t="s">
        <v>28</v>
      </c>
      <c r="B10" t="s">
        <v>29</v>
      </c>
      <c r="C10" s="2" t="str">
        <f>TRIM(D10)</f>
        <v>TA02</v>
      </c>
      <c r="D10" t="s">
        <v>30</v>
      </c>
      <c r="E10">
        <v>4</v>
      </c>
      <c r="F10" s="3" t="e">
        <f>VLOOKUP(C10,KhoaHoc!A$8:$C10,2,FALSE)</f>
        <v>#N/A</v>
      </c>
      <c r="G10" t="e">
        <f>VLOOKUP(C10,KhoaHoc!A$8:$C10,3,FALSE)</f>
        <v>#N/A</v>
      </c>
      <c r="H10" t="e">
        <f>G10*E10</f>
        <v>#N/A</v>
      </c>
    </row>
    <row r="11">
      <c r="A11" t="s">
        <v>31</v>
      </c>
      <c r="B11" t="s">
        <v>32</v>
      </c>
      <c r="C11" s="2" t="str">
        <f>TRIM(D11)</f>
        <v>TH01</v>
      </c>
      <c r="D11" t="s">
        <v>18</v>
      </c>
      <c r="E11">
        <v>2</v>
      </c>
      <c r="F11" s="3" t="e">
        <f>VLOOKUP(C11,KhoaHoc!A$8:$C11,2,FALSE)</f>
        <v>#N/A</v>
      </c>
      <c r="G11" t="e">
        <f>VLOOKUP(C11,KhoaHoc!A$8:$C11,3,FALSE)</f>
        <v>#N/A</v>
      </c>
      <c r="H11" t="e">
        <f>G11*E11</f>
        <v>#N/A</v>
      </c>
    </row>
    <row r="12">
      <c r="A12" t="s">
        <v>33</v>
      </c>
      <c r="B12" t="s">
        <v>34</v>
      </c>
      <c r="C12" s="2" t="str">
        <f>TRIM(D12)</f>
        <v>TT01</v>
      </c>
      <c r="D12" t="s">
        <v>35</v>
      </c>
      <c r="E12">
        <v>3</v>
      </c>
      <c r="F12" s="3" t="e">
        <f>VLOOKUP(C12,KhoaHoc!A$8:$C12,2,FALSE)</f>
        <v>#N/A</v>
      </c>
      <c r="G12" t="e">
        <f>VLOOKUP(C12,KhoaHoc!A$8:$C12,3,FALSE)</f>
        <v>#N/A</v>
      </c>
      <c r="H12" t="e">
        <f>G12*E12</f>
        <v>#N/A</v>
      </c>
    </row>
    <row r="13">
      <c r="A13" t="s">
        <v>36</v>
      </c>
      <c r="B13" t="s">
        <v>37</v>
      </c>
      <c r="C13" s="2" t="str">
        <f>TRIM(D13)</f>
        <v>TA02</v>
      </c>
      <c r="D13" t="s">
        <v>30</v>
      </c>
      <c r="E13">
        <v>2</v>
      </c>
      <c r="F13" s="3" t="e">
        <f>VLOOKUP(C13,KhoaHoc!A$8:$C13,2,FALSE)</f>
        <v>#N/A</v>
      </c>
      <c r="G13" t="e">
        <f>VLOOKUP(C13,KhoaHoc!A$8:$C13,3,FALSE)</f>
        <v>#N/A</v>
      </c>
      <c r="H13" t="e">
        <f>G13*E13</f>
        <v>#N/A</v>
      </c>
    </row>
    <row r="14">
      <c r="A14" t="s">
        <v>38</v>
      </c>
      <c r="B14" t="s">
        <v>39</v>
      </c>
      <c r="C14" s="2" t="str">
        <f>TRIM(D14)</f>
        <v>TH01</v>
      </c>
      <c r="D14" t="s">
        <v>18</v>
      </c>
      <c r="E14">
        <v>4</v>
      </c>
      <c r="F14" s="3" t="e">
        <f>VLOOKUP(C14,KhoaHoc!A$8:$C14,2,FALSE)</f>
        <v>#N/A</v>
      </c>
      <c r="G14" t="e">
        <f>VLOOKUP(C14,KhoaHoc!A$8:$C14,3,FALSE)</f>
        <v>#N/A</v>
      </c>
      <c r="H14" t="e">
        <f>G14*E14</f>
        <v>#N/A</v>
      </c>
    </row>
    <row r="15">
      <c r="A15" t="s">
        <v>40</v>
      </c>
      <c r="B15" t="s">
        <v>41</v>
      </c>
      <c r="C15" s="2" t="str">
        <f>TRIM(D15)</f>
        <v>TA03</v>
      </c>
      <c r="D15" t="s">
        <v>42</v>
      </c>
      <c r="E15">
        <v>5</v>
      </c>
      <c r="F15" s="3" t="e">
        <f>VLOOKUP(C15,KhoaHoc!A$8:$C15,2,FALSE)</f>
        <v>#N/A</v>
      </c>
      <c r="G15" t="e">
        <f>VLOOKUP(C15,KhoaHoc!A$8:$C15,3,FALSE)</f>
        <v>#N/A</v>
      </c>
      <c r="H15" t="e">
        <f>G15*E15</f>
        <v>#N/A</v>
      </c>
    </row>
    <row r="16">
      <c r="A16" t="s">
        <v>43</v>
      </c>
      <c r="B16" t="s">
        <v>44</v>
      </c>
      <c r="C16" s="2" t="str">
        <f>TRIM(D16)</f>
        <v>TA02</v>
      </c>
      <c r="D16" t="s">
        <v>30</v>
      </c>
      <c r="E16">
        <v>1</v>
      </c>
      <c r="F16" s="3" t="e">
        <f>VLOOKUP(C16,KhoaHoc!A$8:$C16,2,FALSE)</f>
        <v>#N/A</v>
      </c>
      <c r="G16" t="e">
        <f>VLOOKUP(C16,KhoaHoc!A$8:$C16,3,FALSE)</f>
        <v>#N/A</v>
      </c>
      <c r="H16" t="e">
        <f>G16*E16</f>
        <v>#N/A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7" width="15"/>
  </cols>
  <sheetData>
    <row r="1">
      <c r="A1" t="s">
        <v>3</v>
      </c>
      <c r="B1" t="s">
        <v>5</v>
      </c>
      <c r="C1" t="s">
        <v>6</v>
      </c>
    </row>
    <row r="2">
      <c r="A2" t="s">
        <v>10</v>
      </c>
      <c r="B2" t="s">
        <v>45</v>
      </c>
      <c r="C2">
        <v>2500000</v>
      </c>
    </row>
    <row r="3">
      <c r="A3" t="s">
        <v>30</v>
      </c>
      <c r="B3" t="s">
        <v>46</v>
      </c>
      <c r="C3">
        <v>4500000</v>
      </c>
    </row>
    <row r="4">
      <c r="A4" t="s">
        <v>42</v>
      </c>
      <c r="B4" t="s">
        <v>47</v>
      </c>
      <c r="C4">
        <v>3000000</v>
      </c>
    </row>
    <row r="5">
      <c r="A5" t="s">
        <v>15</v>
      </c>
      <c r="B5" t="s">
        <v>48</v>
      </c>
      <c r="C5">
        <v>3500000</v>
      </c>
    </row>
    <row r="6">
      <c r="A6" t="s">
        <v>18</v>
      </c>
      <c r="B6" t="s">
        <v>49</v>
      </c>
      <c r="C6">
        <v>3200000</v>
      </c>
    </row>
    <row r="7">
      <c r="A7" t="s">
        <v>35</v>
      </c>
      <c r="B7" t="s">
        <v>50</v>
      </c>
      <c r="C7">
        <v>2800000</v>
      </c>
    </row>
    <row r="8">
      <c r="A8" t="s">
        <v>21</v>
      </c>
      <c r="B8" t="s">
        <v>51</v>
      </c>
      <c r="C8">
        <v>2000000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2026-10-27T01:31:57Z</dcterms:created>
  <dcterms:modified xsi:type="dcterms:W3CDTF">2026-10-28T07:54:06Z</dcterms:modified>
</cp:coreProperties>
</file>